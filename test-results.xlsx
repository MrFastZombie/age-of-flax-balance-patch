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lar\AppData\Roaming\VSLInstallations\Terra-Prety-Test\Mods\flax-patch\"/>
    </mc:Choice>
  </mc:AlternateContent>
  <xr:revisionPtr revIDLastSave="0" documentId="13_ncr:1_{52CAB3D2-5C15-4BDD-83F4-B9A434CF0EA1}" xr6:coauthVersionLast="47" xr6:coauthVersionMax="47" xr10:uidLastSave="{00000000-0000-0000-0000-000000000000}"/>
  <bookViews>
    <workbookView xWindow="59010" yWindow="6435" windowWidth="27450" windowHeight="13650" xr2:uid="{BF5DC87F-0848-4EDA-BC82-47939FBEB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B18" i="1"/>
  <c r="F16" i="1"/>
  <c r="E16" i="1"/>
  <c r="C16" i="1"/>
  <c r="B16" i="1"/>
  <c r="E10" i="1"/>
  <c r="C10" i="1"/>
  <c r="G18" i="1"/>
  <c r="G17" i="1"/>
  <c r="G16" i="1"/>
  <c r="G12" i="1"/>
  <c r="G11" i="1"/>
  <c r="G10" i="1"/>
  <c r="G6" i="1"/>
  <c r="G5" i="1"/>
  <c r="G4" i="1"/>
  <c r="Q18" i="1"/>
  <c r="P18" i="1"/>
  <c r="O18" i="1"/>
  <c r="S18" i="1" s="1"/>
  <c r="N18" i="1"/>
  <c r="T16" i="1"/>
  <c r="T18" i="1"/>
  <c r="T12" i="1"/>
  <c r="T10" i="1"/>
  <c r="T6" i="1"/>
  <c r="T4" i="1"/>
  <c r="S17" i="1"/>
  <c r="S16" i="1"/>
  <c r="S12" i="1"/>
  <c r="S11" i="1"/>
  <c r="S10" i="1"/>
  <c r="S5" i="1"/>
  <c r="S6" i="1"/>
  <c r="S4" i="1"/>
</calcChain>
</file>

<file path=xl/sharedStrings.xml><?xml version="1.0" encoding="utf-8"?>
<sst xmlns="http://schemas.openxmlformats.org/spreadsheetml/2006/main" count="87" uniqueCount="18">
  <si>
    <t>Product</t>
  </si>
  <si>
    <t>Grain</t>
  </si>
  <si>
    <t>Seed</t>
  </si>
  <si>
    <t>Fiber</t>
  </si>
  <si>
    <t>Sample 1</t>
  </si>
  <si>
    <t>Sample 2</t>
  </si>
  <si>
    <t>Sample 3</t>
  </si>
  <si>
    <t>Sample 4</t>
  </si>
  <si>
    <t>Sample 5</t>
  </si>
  <si>
    <t>Vanilla</t>
  </si>
  <si>
    <t>Simple</t>
  </si>
  <si>
    <t>Primitive</t>
  </si>
  <si>
    <t>Advanced</t>
  </si>
  <si>
    <t>Goal</t>
  </si>
  <si>
    <t>Avg</t>
  </si>
  <si>
    <t>Before patch</t>
  </si>
  <si>
    <t>After Patch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</si>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</sst>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99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2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CBBF-8649-4C1F-ADCC-3F41689F1C2D}">
  <dimension ref="A1:T18"/>
  <sheetViews>
    <sheetView tabSelected="1" workbookViewId="0">
      <selection activeCell="I22" sqref="I22"/>
    </sheetView>
  </sheetViews>
  <sheetFormatPr defaultRowHeight="15" x14ac:dyDescent="0.25"/>
  <cols>
    <col min="11" max="11" width="9.140625" customWidth="1"/>
  </cols>
  <sheetData>
    <row r="1" spans="1:20" x14ac:dyDescent="0.25">
      <c r="A1" s="22" t="s">
        <v>15</v>
      </c>
      <c r="B1" s="22"/>
      <c r="C1" s="22"/>
      <c r="D1" s="22"/>
      <c r="E1" s="22"/>
      <c r="F1" s="22"/>
      <c r="G1" s="22"/>
      <c r="H1" s="22"/>
      <c r="M1" s="22" t="s">
        <v>16</v>
      </c>
      <c r="N1" s="22"/>
      <c r="O1" s="22"/>
      <c r="P1" s="22"/>
      <c r="Q1" s="22"/>
      <c r="R1" s="22"/>
      <c r="S1" s="22"/>
      <c r="T1" s="22"/>
    </row>
    <row r="2" spans="1:20" x14ac:dyDescent="0.25">
      <c r="A2" s="6" t="s">
        <v>11</v>
      </c>
      <c r="B2" s="6"/>
      <c r="C2" s="6"/>
      <c r="D2" s="6"/>
      <c r="E2" s="6"/>
      <c r="F2" s="6"/>
      <c r="G2" s="6"/>
      <c r="H2" s="6"/>
      <c r="I2" s="1"/>
      <c r="J2" s="2"/>
      <c r="K2" s="2"/>
      <c r="M2" s="6" t="s">
        <v>11</v>
      </c>
      <c r="N2" s="6"/>
      <c r="O2" s="6"/>
      <c r="P2" s="6"/>
      <c r="Q2" s="6"/>
      <c r="R2" s="6"/>
      <c r="S2" s="6"/>
      <c r="T2" s="6"/>
    </row>
    <row r="3" spans="1:20" x14ac:dyDescent="0.25">
      <c r="A3" s="7" t="s">
        <v>0</v>
      </c>
      <c r="B3" s="8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10" t="s">
        <v>14</v>
      </c>
      <c r="H3" s="7" t="s">
        <v>13</v>
      </c>
      <c r="I3" s="1"/>
      <c r="K3" s="3" t="s">
        <v>9</v>
      </c>
      <c r="M3" s="7" t="s">
        <v>0</v>
      </c>
      <c r="N3" s="8" t="s">
        <v>4</v>
      </c>
      <c r="O3" s="9" t="s">
        <v>5</v>
      </c>
      <c r="P3" s="9" t="s">
        <v>6</v>
      </c>
      <c r="Q3" s="9" t="s">
        <v>7</v>
      </c>
      <c r="R3" s="9" t="s">
        <v>8</v>
      </c>
      <c r="S3" s="10" t="s">
        <v>14</v>
      </c>
      <c r="T3" s="7" t="s">
        <v>13</v>
      </c>
    </row>
    <row r="4" spans="1:20" x14ac:dyDescent="0.25">
      <c r="A4" s="11" t="s">
        <v>1</v>
      </c>
      <c r="B4" s="12">
        <v>59</v>
      </c>
      <c r="C4" s="13">
        <v>60</v>
      </c>
      <c r="D4" s="13">
        <v>61</v>
      </c>
      <c r="E4" s="13">
        <v>59</v>
      </c>
      <c r="F4" s="13">
        <v>65</v>
      </c>
      <c r="G4" s="7">
        <f>AVERAGE(B4:F4)</f>
        <v>60.8</v>
      </c>
      <c r="H4" s="7" t="s">
        <v>17</v>
      </c>
      <c r="I4" s="1"/>
      <c r="J4" s="1" t="s">
        <v>1</v>
      </c>
      <c r="K4" s="3">
        <v>59</v>
      </c>
      <c r="M4" s="11" t="s">
        <v>1</v>
      </c>
      <c r="N4" s="12">
        <v>40</v>
      </c>
      <c r="O4" s="13">
        <v>43</v>
      </c>
      <c r="P4" s="13">
        <v>42</v>
      </c>
      <c r="Q4" s="13">
        <v>40</v>
      </c>
      <c r="R4" s="13">
        <v>44</v>
      </c>
      <c r="S4" s="7">
        <f>AVERAGE(N4:R4)</f>
        <v>41.8</v>
      </c>
      <c r="T4" s="7">
        <f>K4*0.7</f>
        <v>41.3</v>
      </c>
    </row>
    <row r="5" spans="1:20" x14ac:dyDescent="0.25">
      <c r="A5" s="11" t="s">
        <v>2</v>
      </c>
      <c r="B5" s="12">
        <v>12</v>
      </c>
      <c r="C5" s="13">
        <v>12</v>
      </c>
      <c r="D5" s="13">
        <v>12</v>
      </c>
      <c r="E5" s="13">
        <v>12</v>
      </c>
      <c r="F5" s="13">
        <v>12</v>
      </c>
      <c r="G5" s="11">
        <f t="shared" ref="G5:G6" si="0">AVERAGE(B5:F5)</f>
        <v>12</v>
      </c>
      <c r="H5" s="11" t="s">
        <v>17</v>
      </c>
      <c r="I5" s="1"/>
      <c r="J5" s="1" t="s">
        <v>2</v>
      </c>
      <c r="K5" s="3">
        <v>12</v>
      </c>
      <c r="M5" s="11" t="s">
        <v>2</v>
      </c>
      <c r="N5" s="12">
        <v>12</v>
      </c>
      <c r="O5" s="13">
        <v>12</v>
      </c>
      <c r="P5" s="13">
        <v>12</v>
      </c>
      <c r="Q5" s="13">
        <v>13</v>
      </c>
      <c r="R5" s="13">
        <v>13</v>
      </c>
      <c r="S5" s="11">
        <f t="shared" ref="S5:S6" si="1">AVERAGE(N5:R5)</f>
        <v>12.4</v>
      </c>
      <c r="T5" s="11">
        <v>12</v>
      </c>
    </row>
    <row r="6" spans="1:20" x14ac:dyDescent="0.25">
      <c r="A6" s="14" t="s">
        <v>3</v>
      </c>
      <c r="B6" s="15">
        <v>49</v>
      </c>
      <c r="C6" s="16">
        <v>45</v>
      </c>
      <c r="D6" s="16">
        <v>52</v>
      </c>
      <c r="E6" s="16">
        <v>49</v>
      </c>
      <c r="F6" s="16">
        <v>44</v>
      </c>
      <c r="G6" s="14">
        <f t="shared" si="0"/>
        <v>47.8</v>
      </c>
      <c r="H6" s="14" t="s">
        <v>17</v>
      </c>
      <c r="J6" s="1" t="s">
        <v>3</v>
      </c>
      <c r="K6" s="3">
        <v>81</v>
      </c>
      <c r="M6" s="14" t="s">
        <v>3</v>
      </c>
      <c r="N6" s="15">
        <v>59</v>
      </c>
      <c r="O6" s="16">
        <v>59</v>
      </c>
      <c r="P6" s="16">
        <v>56</v>
      </c>
      <c r="Q6" s="16">
        <v>58</v>
      </c>
      <c r="R6" s="16">
        <v>55</v>
      </c>
      <c r="S6" s="14">
        <f t="shared" si="1"/>
        <v>57.4</v>
      </c>
      <c r="T6" s="14">
        <f>K6*0.7</f>
        <v>56.699999999999996</v>
      </c>
    </row>
    <row r="7" spans="1:20" x14ac:dyDescent="0.25">
      <c r="A7" s="1"/>
      <c r="B7" s="1"/>
      <c r="C7" s="1"/>
      <c r="D7" s="1"/>
      <c r="E7" s="1"/>
      <c r="F7" s="1"/>
      <c r="G7" s="1"/>
      <c r="H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7" t="s">
        <v>10</v>
      </c>
      <c r="B8" s="17"/>
      <c r="C8" s="17"/>
      <c r="D8" s="17"/>
      <c r="E8" s="17"/>
      <c r="F8" s="17"/>
      <c r="G8" s="17"/>
      <c r="H8" s="17"/>
      <c r="J8" s="4"/>
      <c r="K8" s="4"/>
      <c r="L8" s="4"/>
      <c r="M8" s="17" t="s">
        <v>10</v>
      </c>
      <c r="N8" s="17"/>
      <c r="O8" s="17"/>
      <c r="P8" s="17"/>
      <c r="Q8" s="17"/>
      <c r="R8" s="17"/>
      <c r="S8" s="17"/>
      <c r="T8" s="17"/>
    </row>
    <row r="9" spans="1:20" x14ac:dyDescent="0.25">
      <c r="A9" s="7" t="s">
        <v>0</v>
      </c>
      <c r="B9" s="8" t="s">
        <v>4</v>
      </c>
      <c r="C9" s="9" t="s">
        <v>5</v>
      </c>
      <c r="D9" s="9" t="s">
        <v>6</v>
      </c>
      <c r="E9" s="9" t="s">
        <v>7</v>
      </c>
      <c r="F9" s="9" t="s">
        <v>8</v>
      </c>
      <c r="G9" s="10" t="s">
        <v>14</v>
      </c>
      <c r="H9" s="7" t="s">
        <v>13</v>
      </c>
      <c r="K9" s="3"/>
      <c r="L9" s="3"/>
      <c r="M9" s="7" t="s">
        <v>0</v>
      </c>
      <c r="N9" s="8" t="s">
        <v>4</v>
      </c>
      <c r="O9" s="9" t="s">
        <v>5</v>
      </c>
      <c r="P9" s="9" t="s">
        <v>6</v>
      </c>
      <c r="Q9" s="9" t="s">
        <v>7</v>
      </c>
      <c r="R9" s="9" t="s">
        <v>8</v>
      </c>
      <c r="S9" s="10" t="s">
        <v>14</v>
      </c>
      <c r="T9" s="7" t="s">
        <v>13</v>
      </c>
    </row>
    <row r="10" spans="1:20" x14ac:dyDescent="0.25">
      <c r="A10" s="11" t="s">
        <v>1</v>
      </c>
      <c r="B10" s="12">
        <v>88</v>
      </c>
      <c r="C10" s="13">
        <f>64+18</f>
        <v>82</v>
      </c>
      <c r="D10" s="13">
        <v>84</v>
      </c>
      <c r="E10" s="13">
        <f>64+28</f>
        <v>92</v>
      </c>
      <c r="F10" s="18">
        <v>86</v>
      </c>
      <c r="G10" s="19">
        <f>AVERAGE(B10:F10)</f>
        <v>86.4</v>
      </c>
      <c r="H10" s="7" t="s">
        <v>17</v>
      </c>
      <c r="K10" s="3"/>
      <c r="L10" s="3"/>
      <c r="M10" s="11" t="s">
        <v>1</v>
      </c>
      <c r="N10" s="12">
        <v>64</v>
      </c>
      <c r="O10" s="13">
        <v>64</v>
      </c>
      <c r="P10" s="13">
        <v>62</v>
      </c>
      <c r="Q10" s="13">
        <v>56</v>
      </c>
      <c r="R10" s="18">
        <v>58</v>
      </c>
      <c r="S10" s="19">
        <f>AVERAGE(N10:R10)</f>
        <v>60.8</v>
      </c>
      <c r="T10" s="7">
        <f>K4</f>
        <v>59</v>
      </c>
    </row>
    <row r="11" spans="1:20" x14ac:dyDescent="0.25">
      <c r="A11" s="11" t="s">
        <v>2</v>
      </c>
      <c r="B11" s="12">
        <v>22</v>
      </c>
      <c r="C11" s="13">
        <v>20</v>
      </c>
      <c r="D11" s="13">
        <v>20</v>
      </c>
      <c r="E11" s="13">
        <v>20</v>
      </c>
      <c r="F11" s="19">
        <v>22</v>
      </c>
      <c r="G11" s="19">
        <f t="shared" ref="G11:G12" si="2">AVERAGE(B11:F11)</f>
        <v>20.8</v>
      </c>
      <c r="H11" s="11" t="s">
        <v>17</v>
      </c>
      <c r="K11" s="3"/>
      <c r="L11" s="3"/>
      <c r="M11" s="11" t="s">
        <v>2</v>
      </c>
      <c r="N11" s="12">
        <v>16</v>
      </c>
      <c r="O11" s="13">
        <v>12</v>
      </c>
      <c r="P11" s="13">
        <v>16</v>
      </c>
      <c r="Q11" s="13">
        <v>14</v>
      </c>
      <c r="R11" s="19">
        <v>16</v>
      </c>
      <c r="S11" s="19">
        <f t="shared" ref="S11:S12" si="3">AVERAGE(N11:R11)</f>
        <v>14.8</v>
      </c>
      <c r="T11" s="11">
        <v>15</v>
      </c>
    </row>
    <row r="12" spans="1:20" x14ac:dyDescent="0.25">
      <c r="A12" s="14" t="s">
        <v>3</v>
      </c>
      <c r="B12" s="15">
        <v>64</v>
      </c>
      <c r="C12" s="16">
        <v>60</v>
      </c>
      <c r="D12" s="16">
        <v>64</v>
      </c>
      <c r="E12" s="16">
        <v>58</v>
      </c>
      <c r="F12" s="20">
        <v>58</v>
      </c>
      <c r="G12" s="20">
        <f t="shared" si="2"/>
        <v>60.8</v>
      </c>
      <c r="H12" s="14" t="s">
        <v>17</v>
      </c>
      <c r="J12" s="5"/>
      <c r="K12" s="3"/>
      <c r="L12" s="3"/>
      <c r="M12" s="14" t="s">
        <v>3</v>
      </c>
      <c r="N12" s="15">
        <v>76</v>
      </c>
      <c r="O12" s="16">
        <v>78</v>
      </c>
      <c r="P12" s="16">
        <v>74</v>
      </c>
      <c r="Q12" s="16">
        <v>88</v>
      </c>
      <c r="R12" s="20">
        <v>82</v>
      </c>
      <c r="S12" s="20">
        <f t="shared" si="3"/>
        <v>79.599999999999994</v>
      </c>
      <c r="T12" s="14">
        <f>K6</f>
        <v>81</v>
      </c>
    </row>
    <row r="13" spans="1:20" x14ac:dyDescent="0.25">
      <c r="A13" s="1"/>
      <c r="B13" s="1"/>
      <c r="C13" s="1"/>
      <c r="D13" s="1"/>
      <c r="E13" s="1"/>
      <c r="F13" s="1"/>
      <c r="G13" s="1"/>
      <c r="H13" s="1"/>
      <c r="J13" s="5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21" t="s">
        <v>12</v>
      </c>
      <c r="B14" s="21"/>
      <c r="C14" s="21"/>
      <c r="D14" s="21"/>
      <c r="E14" s="21"/>
      <c r="F14" s="21"/>
      <c r="G14" s="21"/>
      <c r="H14" s="21"/>
      <c r="J14" s="5"/>
      <c r="M14" s="21" t="s">
        <v>12</v>
      </c>
      <c r="N14" s="21"/>
      <c r="O14" s="21"/>
      <c r="P14" s="21"/>
      <c r="Q14" s="21"/>
      <c r="R14" s="21"/>
      <c r="S14" s="21"/>
      <c r="T14" s="21"/>
    </row>
    <row r="15" spans="1:20" x14ac:dyDescent="0.25">
      <c r="A15" s="7" t="s">
        <v>0</v>
      </c>
      <c r="B15" s="8" t="s">
        <v>4</v>
      </c>
      <c r="C15" s="9" t="s">
        <v>5</v>
      </c>
      <c r="D15" s="9" t="s">
        <v>6</v>
      </c>
      <c r="E15" s="9" t="s">
        <v>7</v>
      </c>
      <c r="F15" s="9" t="s">
        <v>8</v>
      </c>
      <c r="G15" s="10" t="s">
        <v>14</v>
      </c>
      <c r="H15" s="7" t="s">
        <v>13</v>
      </c>
      <c r="M15" s="7" t="s">
        <v>0</v>
      </c>
      <c r="N15" s="8" t="s">
        <v>4</v>
      </c>
      <c r="O15" s="9" t="s">
        <v>5</v>
      </c>
      <c r="P15" s="9" t="s">
        <v>6</v>
      </c>
      <c r="Q15" s="9" t="s">
        <v>7</v>
      </c>
      <c r="R15" s="9" t="s">
        <v>8</v>
      </c>
      <c r="S15" s="10" t="s">
        <v>14</v>
      </c>
      <c r="T15" s="7" t="s">
        <v>13</v>
      </c>
    </row>
    <row r="16" spans="1:20" x14ac:dyDescent="0.25">
      <c r="A16" s="11" t="s">
        <v>1</v>
      </c>
      <c r="B16" s="12">
        <f>64+58</f>
        <v>122</v>
      </c>
      <c r="C16" s="13">
        <f>64+50</f>
        <v>114</v>
      </c>
      <c r="D16" s="13">
        <v>130</v>
      </c>
      <c r="E16" s="13">
        <f>64+48</f>
        <v>112</v>
      </c>
      <c r="F16" s="18">
        <f>64+50</f>
        <v>114</v>
      </c>
      <c r="G16" s="19">
        <f>AVERAGE(B16:F16)</f>
        <v>118.4</v>
      </c>
      <c r="H16" s="7" t="s">
        <v>17</v>
      </c>
      <c r="M16" s="11" t="s">
        <v>1</v>
      </c>
      <c r="N16" s="12">
        <v>86</v>
      </c>
      <c r="O16" s="13">
        <v>82</v>
      </c>
      <c r="P16" s="13">
        <v>72</v>
      </c>
      <c r="Q16" s="13">
        <v>72</v>
      </c>
      <c r="R16" s="18">
        <v>74</v>
      </c>
      <c r="S16" s="19">
        <f>AVERAGE(N16:R16)</f>
        <v>77.2</v>
      </c>
      <c r="T16" s="7">
        <f>K4*1.3</f>
        <v>76.7</v>
      </c>
    </row>
    <row r="17" spans="1:20" x14ac:dyDescent="0.25">
      <c r="A17" s="11" t="s">
        <v>2</v>
      </c>
      <c r="B17" s="12">
        <v>20</v>
      </c>
      <c r="C17" s="13">
        <v>24</v>
      </c>
      <c r="D17" s="13">
        <v>30</v>
      </c>
      <c r="E17" s="13">
        <v>24</v>
      </c>
      <c r="F17" s="19">
        <v>20</v>
      </c>
      <c r="G17" s="19">
        <f t="shared" ref="G17:G18" si="4">AVERAGE(B17:F17)</f>
        <v>23.6</v>
      </c>
      <c r="H17" s="11" t="s">
        <v>17</v>
      </c>
      <c r="M17" s="11" t="s">
        <v>2</v>
      </c>
      <c r="N17" s="12">
        <v>18</v>
      </c>
      <c r="O17" s="13">
        <v>14</v>
      </c>
      <c r="P17" s="13">
        <v>16</v>
      </c>
      <c r="Q17" s="13">
        <v>18</v>
      </c>
      <c r="R17" s="19">
        <v>18</v>
      </c>
      <c r="S17" s="19">
        <f t="shared" ref="S17:S18" si="5">AVERAGE(N17:R17)</f>
        <v>16.8</v>
      </c>
      <c r="T17" s="11">
        <v>17</v>
      </c>
    </row>
    <row r="18" spans="1:20" x14ac:dyDescent="0.25">
      <c r="A18" s="14" t="s">
        <v>3</v>
      </c>
      <c r="B18" s="15">
        <f>64+24</f>
        <v>88</v>
      </c>
      <c r="C18" s="16">
        <v>84</v>
      </c>
      <c r="D18" s="16">
        <v>70</v>
      </c>
      <c r="E18" s="16">
        <v>68</v>
      </c>
      <c r="F18" s="20">
        <f>64+22</f>
        <v>86</v>
      </c>
      <c r="G18" s="20">
        <f t="shared" si="4"/>
        <v>79.2</v>
      </c>
      <c r="H18" s="14" t="s">
        <v>17</v>
      </c>
      <c r="M18" s="14" t="s">
        <v>3</v>
      </c>
      <c r="N18" s="15">
        <f>64+28</f>
        <v>92</v>
      </c>
      <c r="O18" s="16">
        <f>64+42</f>
        <v>106</v>
      </c>
      <c r="P18" s="16">
        <f>64+50</f>
        <v>114</v>
      </c>
      <c r="Q18" s="16">
        <f>64+44</f>
        <v>108</v>
      </c>
      <c r="R18" s="20">
        <v>104</v>
      </c>
      <c r="S18" s="20">
        <f t="shared" si="5"/>
        <v>104.8</v>
      </c>
      <c r="T18" s="14">
        <f>K6*1.3</f>
        <v>105.3</v>
      </c>
    </row>
  </sheetData>
  <mergeCells count="8">
    <mergeCell ref="M1:T1"/>
    <mergeCell ref="A2:H2"/>
    <mergeCell ref="A8:H8"/>
    <mergeCell ref="A14:H14"/>
    <mergeCell ref="M8:T8"/>
    <mergeCell ref="M2:T2"/>
    <mergeCell ref="M14:T14"/>
    <mergeCell ref="A1:H1"/>
  </mergeCells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Wolf</dc:creator>
  <cp:lastModifiedBy>Skylar Wolf</cp:lastModifiedBy>
  <dcterms:created xsi:type="dcterms:W3CDTF">2025-11-24T05:51:09Z</dcterms:created>
  <dcterms:modified xsi:type="dcterms:W3CDTF">2025-11-24T07:22:09Z</dcterms:modified>
</cp:coreProperties>
</file>